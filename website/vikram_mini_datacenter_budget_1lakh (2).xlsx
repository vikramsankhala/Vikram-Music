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ed Budget" sheetId="2" state="visible" r:id="rId2"/>
    <sheet xmlns:r="http://schemas.openxmlformats.org/officeDocument/2006/relationships" name="Sourcing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Software 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;[Red](₹#,##0);-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1F1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0000FF"/>
      <sz val="11"/>
      <u val="single"/>
    </font>
    <font>
      <name val="Calibri"/>
      <color rgb="00000000"/>
      <sz val="11"/>
    </font>
    <font>
      <name val="Calibri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4" fontId="5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6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1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tailedBudgetTable" displayName="DetailedBudgetTable" ref="B4:I15" headerRowCount="1">
  <autoFilter ref="B4:I15"/>
  <tableColumns count="8">
    <tableColumn id="2" name="Category"/>
    <tableColumn id="3" name="Component"/>
    <tableColumn id="4" name="Specification"/>
    <tableColumn id="5" name="Qty"/>
    <tableColumn id="6" name="Unit Price"/>
    <tableColumn id="7" name="Amount"/>
    <tableColumn id="8" name="Priority"/>
    <tableColumn id="9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ingTable" displayName="SourcingTable" ref="B4:I11" headerRowCount="1">
  <autoFilter ref="B4:I11"/>
  <tableColumns count="8">
    <tableColumn id="2" name="Component"/>
    <tableColumn id="3" name="Suggested sourcing channel"/>
    <tableColumn id="4" name="Spec to verify before buying"/>
    <tableColumn id="5" name="Indicative budget"/>
    <tableColumn id="6" name="Source reference"/>
    <tableColumn id="7" name="URL"/>
    <tableColumn id="8" name="Buy now?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ftwareStackTable" displayName="SoftwareStackTable" ref="B5:H30" headerRowCount="1">
  <autoFilter ref="B5:H30"/>
  <tableColumns count="7">
    <tableColumn id="2" name="Category"/>
    <tableColumn id="3" name="Software"/>
    <tableColumn id="4" name="Purpose"/>
    <tableColumn id="5" name="Priority"/>
    <tableColumn id="6" name="Open source"/>
    <tableColumn id="7" name="Install on base system?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in/" TargetMode="External" Id="rId1"/><Relationship Type="http://schemas.openxmlformats.org/officeDocument/2006/relationships/hyperlink" Target="https://www.amazon.in/" TargetMode="External" Id="rId2"/><Relationship Type="http://schemas.openxmlformats.org/officeDocument/2006/relationships/hyperlink" Target="https://www.amazon.in/" TargetMode="External" Id="rId3"/><Relationship Type="http://schemas.openxmlformats.org/officeDocument/2006/relationships/hyperlink" Target="https://www.amazon.in/" TargetMode="External" Id="rId4"/><Relationship Type="http://schemas.openxmlformats.org/officeDocument/2006/relationships/hyperlink" Target="https://www.amazon.in/" TargetMode="External" Id="rId5"/><Relationship Type="http://schemas.openxmlformats.org/officeDocument/2006/relationships/hyperlink" Target="https://www.amazon.in/" TargetMode="External" Id="rId6"/><Relationship Type="http://schemas.openxmlformats.org/officeDocument/2006/relationships/hyperlink" Target="https://www.amazon.in/" TargetMode="External" Id="rId7"/><Relationship Type="http://schemas.openxmlformats.org/officeDocument/2006/relationships/hyperlink" Target="https://www.amazon.in/" TargetMode="External" Id="rId8"/><Relationship Type="http://schemas.openxmlformats.org/officeDocument/2006/relationships/table" Target="/xl/tables/table2.xml" Id="rId9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AMD Mini Data Center Build Budget (Target: ₹1,00,000)</t>
        </is>
      </c>
    </row>
    <row r="3">
      <c r="B3" s="2" t="inlineStr">
        <is>
          <t>Use case: software development, local DevOps, ROS 2, music/design studio, and open-source home lab</t>
        </is>
      </c>
    </row>
    <row r="5">
      <c r="B5" s="3" t="inlineStr">
        <is>
          <t>Workbook index</t>
        </is>
      </c>
      <c r="C5" s="4" t="n"/>
      <c r="D5" s="4" t="n"/>
    </row>
    <row r="6">
      <c r="B6" s="5" t="inlineStr">
        <is>
          <t>Detailed Budget</t>
        </is>
      </c>
    </row>
    <row r="7">
      <c r="B7" s="5" t="inlineStr">
        <is>
          <t>Sourcing</t>
        </is>
      </c>
    </row>
    <row r="8">
      <c r="B8" s="5" t="inlineStr">
        <is>
          <t>Notes</t>
        </is>
      </c>
    </row>
    <row r="9">
      <c r="B9" s="5" t="inlineStr">
        <is>
          <t>Software Stack</t>
        </is>
      </c>
    </row>
    <row r="11">
      <c r="B11" s="3" t="inlineStr">
        <is>
          <t>Item</t>
        </is>
      </c>
      <c r="C11" s="3" t="inlineStr">
        <is>
          <t>Value</t>
        </is>
      </c>
      <c r="D11" s="3" t="inlineStr">
        <is>
          <t>Notes</t>
        </is>
      </c>
    </row>
    <row r="12">
      <c r="B12" s="6" t="inlineStr">
        <is>
          <t>Target budget</t>
        </is>
      </c>
      <c r="C12" s="7" t="n">
        <v>100000</v>
      </c>
      <c r="D12" s="6" t="inlineStr">
        <is>
          <t>Cap for base build, excluding custom speaker cabinet materials</t>
        </is>
      </c>
    </row>
    <row r="13">
      <c r="B13" s="6" t="inlineStr">
        <is>
          <t>RAM</t>
        </is>
      </c>
      <c r="C13" s="6" t="inlineStr">
        <is>
          <t>32 GB</t>
        </is>
      </c>
      <c r="D13" s="6" t="inlineStr">
        <is>
          <t>Preferred 2x16 GB SODIMM, upgrade path to 64 GB if model supports</t>
        </is>
      </c>
    </row>
    <row r="14">
      <c r="B14" s="6" t="inlineStr">
        <is>
          <t>Primary drive</t>
        </is>
      </c>
      <c r="C14" s="6" t="inlineStr">
        <is>
          <t>1 TB NVMe SSD</t>
        </is>
      </c>
      <c r="D14" s="6" t="inlineStr">
        <is>
          <t>OS, containers, active project files, ROS 2 workspaces</t>
        </is>
      </c>
    </row>
    <row r="15">
      <c r="B15" s="6" t="inlineStr">
        <is>
          <t>Bulk drive</t>
        </is>
      </c>
      <c r="C15" s="6" t="inlineStr">
        <is>
          <t>8 TB HDD</t>
        </is>
      </c>
      <c r="D15" s="6" t="inlineStr">
        <is>
          <t>Cold storage, backups, media archives, datasets</t>
        </is>
      </c>
    </row>
    <row r="16">
      <c r="B16" s="6" t="inlineStr">
        <is>
          <t>CPU class</t>
        </is>
      </c>
      <c r="C16" s="6" t="inlineStr">
        <is>
          <t>AMD Ryzen 7</t>
        </is>
      </c>
      <c r="D16" s="6" t="inlineStr">
        <is>
          <t>Low-power mini-PC / barebone class system</t>
        </is>
      </c>
    </row>
    <row r="17">
      <c r="B17" s="6" t="inlineStr">
        <is>
          <t>Audio output</t>
        </is>
      </c>
      <c r="C17" s="6" t="inlineStr">
        <is>
          <t>USB DAC / interface</t>
        </is>
      </c>
      <c r="D17" s="6" t="inlineStr">
        <is>
          <t>Recommended instead of motherboard analog audio</t>
        </is>
      </c>
    </row>
    <row r="20">
      <c r="B20" s="3" t="inlineStr">
        <is>
          <t>Category</t>
        </is>
      </c>
      <c r="C20" s="3" t="inlineStr">
        <is>
          <t>Amount</t>
        </is>
      </c>
      <c r="D20" s="3" t="inlineStr">
        <is>
          <t>Share of budget</t>
        </is>
      </c>
    </row>
    <row r="21">
      <c r="B21" s="6" t="inlineStr">
        <is>
          <t>Core mini-PC platform</t>
        </is>
      </c>
      <c r="C21" s="7" t="n">
        <v>68000</v>
      </c>
      <c r="D21" s="8">
        <f>C21/$C$12</f>
        <v/>
      </c>
    </row>
    <row r="22">
      <c r="B22" s="6" t="inlineStr">
        <is>
          <t>8 TB storage</t>
        </is>
      </c>
      <c r="C22" s="7" t="n">
        <v>14000</v>
      </c>
      <c r="D22" s="8">
        <f>C22/$C$12</f>
        <v/>
      </c>
    </row>
    <row r="23">
      <c r="B23" s="6" t="inlineStr">
        <is>
          <t>Audio DAC/interface</t>
        </is>
      </c>
      <c r="C23" s="7" t="n">
        <v>9000</v>
      </c>
      <c r="D23" s="8">
        <f>C23/$C$12</f>
        <v/>
      </c>
    </row>
    <row r="24">
      <c r="B24" s="6" t="inlineStr">
        <is>
          <t>Power/network/accessories reserve</t>
        </is>
      </c>
      <c r="C24" s="7" t="n">
        <v>9000</v>
      </c>
      <c r="D24" s="8">
        <f>C24/$C$12</f>
        <v/>
      </c>
    </row>
    <row r="25">
      <c r="B25" s="9" t="inlineStr">
        <is>
          <t>Total planned spend</t>
        </is>
      </c>
      <c r="C25" s="10">
        <f>SUM(C21:C24)</f>
        <v/>
      </c>
      <c r="D25" s="11">
        <f>C25/$C$12</f>
        <v/>
      </c>
    </row>
  </sheetData>
  <mergeCells count="2">
    <mergeCell ref="B3:H3"/>
    <mergeCell ref="B2:H2"/>
  </mergeCells>
  <hyperlinks>
    <hyperlink ref="B6" location="'Detailed Budget'!A1"/>
    <hyperlink ref="B7" location="'Sourcing'!A1"/>
    <hyperlink ref="B8" location="'Notes'!A1"/>
    <hyperlink ref="B9" location="'Software Stack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40" customWidth="1" min="4" max="4"/>
    <col width="8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2">
      <c r="B2" s="1" t="inlineStr">
        <is>
          <t>Detailed build budget</t>
        </is>
      </c>
    </row>
    <row r="4">
      <c r="B4" s="3" t="inlineStr">
        <is>
          <t>Category</t>
        </is>
      </c>
      <c r="C4" s="3" t="inlineStr">
        <is>
          <t>Component</t>
        </is>
      </c>
      <c r="D4" s="3" t="inlineStr">
        <is>
          <t>Specification</t>
        </is>
      </c>
      <c r="E4" s="3" t="inlineStr">
        <is>
          <t>Qty</t>
        </is>
      </c>
      <c r="F4" s="3" t="inlineStr">
        <is>
          <t>Unit Price</t>
        </is>
      </c>
      <c r="G4" s="3" t="inlineStr">
        <is>
          <t>Amount</t>
        </is>
      </c>
      <c r="H4" s="3" t="inlineStr">
        <is>
          <t>Priority</t>
        </is>
      </c>
      <c r="I4" s="3" t="inlineStr">
        <is>
          <t>Rationale</t>
        </is>
      </c>
    </row>
    <row r="5">
      <c r="B5" s="6" t="inlineStr">
        <is>
          <t>Compute</t>
        </is>
      </c>
      <c r="C5" s="6" t="inlineStr">
        <is>
          <t>AMD Ryzen 7 mini-PC / barebone</t>
        </is>
      </c>
      <c r="D5" s="6" t="inlineStr">
        <is>
          <t>Minisforum UM773 Lite / similar Ryzen 7 mini-PC, Linux-friendly</t>
        </is>
      </c>
      <c r="E5" s="7" t="n">
        <v>1</v>
      </c>
      <c r="F5" s="7" t="n">
        <v>50000</v>
      </c>
      <c r="G5" s="12">
        <f>E5*F5</f>
        <v/>
      </c>
      <c r="H5" s="6" t="inlineStr">
        <is>
          <t>Must-have</t>
        </is>
      </c>
      <c r="I5" s="6" t="inlineStr">
        <is>
          <t>Primary AMD mini-PC for development and self-hosted services</t>
        </is>
      </c>
    </row>
    <row r="6">
      <c r="B6" s="6" t="inlineStr">
        <is>
          <t>Memory</t>
        </is>
      </c>
      <c r="C6" s="6" t="inlineStr">
        <is>
          <t>32 GB SODIMM kit</t>
        </is>
      </c>
      <c r="D6" s="6" t="inlineStr">
        <is>
          <t>Crucial / Kingston 2x16 GB DDR5 or DDR4 kit as required by chosen mini-PC</t>
        </is>
      </c>
      <c r="E6" s="7" t="n">
        <v>1</v>
      </c>
      <c r="F6" s="7" t="n">
        <v>12000</v>
      </c>
      <c r="G6" s="12">
        <f>E6*F6</f>
        <v/>
      </c>
      <c r="H6" s="6" t="inlineStr">
        <is>
          <t>Must-have</t>
        </is>
      </c>
      <c r="I6" s="6" t="inlineStr">
        <is>
          <t>Reliable dual-channel memory kit</t>
        </is>
      </c>
    </row>
    <row r="7">
      <c r="B7" s="6" t="inlineStr">
        <is>
          <t>Primary storage</t>
        </is>
      </c>
      <c r="C7" s="6" t="inlineStr">
        <is>
          <t>1 TB NVMe SSD</t>
        </is>
      </c>
      <c r="D7" s="6" t="inlineStr">
        <is>
          <t>Crucial P3 Plus 1TB / WD Blue SN580 1TB / similar</t>
        </is>
      </c>
      <c r="E7" s="7" t="n">
        <v>1</v>
      </c>
      <c r="F7" s="7" t="n">
        <v>6000</v>
      </c>
      <c r="G7" s="12">
        <f>E7*F7</f>
        <v/>
      </c>
      <c r="H7" s="6" t="inlineStr">
        <is>
          <t>Must-have</t>
        </is>
      </c>
      <c r="I7" s="6" t="inlineStr">
        <is>
          <t>OS, Docker, active projects, ROS 2 workspaces</t>
        </is>
      </c>
    </row>
    <row r="8">
      <c r="B8" s="6" t="inlineStr">
        <is>
          <t>Bulk storage</t>
        </is>
      </c>
      <c r="C8" s="6" t="inlineStr">
        <is>
          <t>8 TB HDD</t>
        </is>
      </c>
      <c r="D8" s="6" t="inlineStr">
        <is>
          <t>Seagate BarraCuda 8TB / WD Blue 8TB / similar desktop HDD</t>
        </is>
      </c>
      <c r="E8" s="7" t="n">
        <v>1</v>
      </c>
      <c r="F8" s="7" t="n">
        <v>14000</v>
      </c>
      <c r="G8" s="12">
        <f>E8*F8</f>
        <v/>
      </c>
      <c r="H8" s="6" t="inlineStr">
        <is>
          <t>Must-have</t>
        </is>
      </c>
      <c r="I8" s="6" t="inlineStr">
        <is>
          <t>Cold storage, datasets, backups, archives</t>
        </is>
      </c>
    </row>
    <row r="9">
      <c r="B9" s="6" t="inlineStr">
        <is>
          <t>Audio</t>
        </is>
      </c>
      <c r="C9" s="6" t="inlineStr">
        <is>
          <t>USB DAC / audio interface</t>
        </is>
      </c>
      <c r="D9" s="6" t="inlineStr">
        <is>
          <t>Behringer UMC202HD / similar entry studio interface</t>
        </is>
      </c>
      <c r="E9" s="7" t="n">
        <v>1</v>
      </c>
      <c r="F9" s="7" t="n">
        <v>9000</v>
      </c>
      <c r="G9" s="12">
        <f>E9*F9</f>
        <v/>
      </c>
      <c r="H9" s="6" t="inlineStr">
        <is>
          <t>Recommended</t>
        </is>
      </c>
      <c r="I9" s="6" t="inlineStr">
        <is>
          <t>Cleaner line-out to amp and better monitoring path</t>
        </is>
      </c>
    </row>
    <row r="10">
      <c r="B10" s="6" t="inlineStr">
        <is>
          <t>Audio</t>
        </is>
      </c>
      <c r="C10" s="6" t="inlineStr">
        <is>
          <t>Studio monitor headphone – Audio-Technica ATH-M50x</t>
        </is>
      </c>
      <c r="D10" s="6" t="inlineStr">
        <is>
          <t>Exact model: Audio-Technica ATH-M50x closed-back studio headphone</t>
        </is>
      </c>
      <c r="E10" s="7" t="n">
        <v>1</v>
      </c>
      <c r="F10" s="7" t="n">
        <v>12000</v>
      </c>
      <c r="G10" s="12">
        <f>E10*F10</f>
        <v/>
      </c>
      <c r="H10" s="6" t="inlineStr">
        <is>
          <t>Recommended</t>
        </is>
      </c>
      <c r="I10" s="6" t="inlineStr">
        <is>
          <t>Mid-range reference headphone for editing and monitoring</t>
        </is>
      </c>
    </row>
    <row r="11">
      <c r="B11" s="6" t="inlineStr">
        <is>
          <t>Network &amp; power</t>
        </is>
      </c>
      <c r="C11" s="6" t="inlineStr">
        <is>
          <t>UPS / surge / cables reserve</t>
        </is>
      </c>
      <c r="D11" s="6" t="inlineStr">
        <is>
          <t>APC / Zebronics UPS + quality surge protection + cables reserve</t>
        </is>
      </c>
      <c r="E11" s="7" t="n">
        <v>1</v>
      </c>
      <c r="F11" s="7" t="n">
        <v>5000</v>
      </c>
      <c r="G11" s="12">
        <f>E11*F11</f>
        <v/>
      </c>
      <c r="H11" s="6" t="inlineStr">
        <is>
          <t>Recommended</t>
        </is>
      </c>
      <c r="I11" s="6" t="inlineStr">
        <is>
          <t>Power safety and connectivity buffer</t>
        </is>
      </c>
    </row>
    <row r="12">
      <c r="B12" s="6" t="inlineStr">
        <is>
          <t>Expansion reserve</t>
        </is>
      </c>
      <c r="C12" s="6" t="inlineStr">
        <is>
          <t>Cooling / hub / enclosure reserve</t>
        </is>
      </c>
      <c r="D12" s="6" t="inlineStr">
        <is>
          <t>USB hub / HDD enclosure / cooling accessories reserve</t>
        </is>
      </c>
      <c r="E12" s="7" t="n">
        <v>1</v>
      </c>
      <c r="F12" s="7" t="n">
        <v>4000</v>
      </c>
      <c r="G12" s="12">
        <f>E12*F12</f>
        <v/>
      </c>
      <c r="H12" s="6" t="inlineStr">
        <is>
          <t>Optional</t>
        </is>
      </c>
      <c r="I12" s="6" t="inlineStr">
        <is>
          <t>Small expansion buffer</t>
        </is>
      </c>
    </row>
    <row r="14">
      <c r="B14" s="6" t="inlineStr">
        <is>
          <t>Peripherals</t>
        </is>
      </c>
      <c r="C14" s="6" t="inlineStr">
        <is>
          <t>Primary ultrawide monitor (~40 inch)</t>
        </is>
      </c>
      <c r="D14" s="6" t="inlineStr">
        <is>
          <t>Conservative pick: 40-inch class ultrawide productivity monitor, 4K/5K2K class, non-touch preferred for value</t>
        </is>
      </c>
      <c r="E14" s="7" t="n">
        <v>1</v>
      </c>
      <c r="F14" s="7" t="n">
        <v>80000</v>
      </c>
      <c r="G14" s="12">
        <f>E14*F14</f>
        <v/>
      </c>
      <c r="H14" s="6" t="inlineStr">
        <is>
          <t>Recommended</t>
        </is>
      </c>
      <c r="I14" s="6" t="inlineStr">
        <is>
          <t>Primary display upgrade; existing 24-inch monitor becomes secondary display</t>
        </is>
      </c>
    </row>
    <row r="15">
      <c r="B15" s="6" t="inlineStr">
        <is>
          <t>Peripherals</t>
        </is>
      </c>
      <c r="C15" s="6" t="inlineStr">
        <is>
          <t>Keyboard and mouse combo</t>
        </is>
      </c>
      <c r="D15" s="6" t="inlineStr">
        <is>
          <t>Logitech MK275 / MK345 or similar combo</t>
        </is>
      </c>
      <c r="E15" s="7" t="n">
        <v>1</v>
      </c>
      <c r="F15" s="7" t="n">
        <v>3000</v>
      </c>
      <c r="G15" s="12">
        <f>E15*F15</f>
        <v/>
      </c>
      <c r="H15" s="6" t="inlineStr">
        <is>
          <t>Must-have</t>
        </is>
      </c>
      <c r="I15" s="6" t="inlineStr">
        <is>
          <t>Reliable daily-use keyboard and mouse</t>
        </is>
      </c>
    </row>
    <row r="16">
      <c r="B16" s="9" t="inlineStr">
        <is>
          <t>Total</t>
        </is>
      </c>
      <c r="C16" s="13" t="n"/>
      <c r="D16" s="13" t="n"/>
      <c r="E16" s="13" t="n"/>
      <c r="F16" s="13" t="n"/>
      <c r="G16" s="10">
        <f>SUM(G5:G15)</f>
        <v/>
      </c>
      <c r="H16" s="9" t="inlineStr">
        <is>
          <t>Target check</t>
        </is>
      </c>
      <c r="I16" s="10">
        <f>100000-G16</f>
        <v/>
      </c>
    </row>
  </sheetData>
  <mergeCells count="1"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36" customWidth="1" min="4" max="4"/>
    <col width="14" customWidth="1" min="5" max="5"/>
    <col width="24" customWidth="1" min="6" max="6"/>
    <col width="42" customWidth="1" min="7" max="7"/>
    <col width="14" customWidth="1" min="8" max="8"/>
    <col width="28" customWidth="1" min="9" max="9"/>
  </cols>
  <sheetData>
    <row r="2">
      <c r="B2" s="1" t="inlineStr">
        <is>
          <t>Indicative sourcing plan</t>
        </is>
      </c>
    </row>
    <row r="4">
      <c r="B4" s="3" t="inlineStr">
        <is>
          <t>Component</t>
        </is>
      </c>
      <c r="C4" s="3" t="inlineStr">
        <is>
          <t>Suggested sourcing channel</t>
        </is>
      </c>
      <c r="D4" s="3" t="inlineStr">
        <is>
          <t>Spec to verify before buying</t>
        </is>
      </c>
      <c r="E4" s="3" t="inlineStr">
        <is>
          <t>Indicative budget</t>
        </is>
      </c>
      <c r="F4" s="3" t="inlineStr">
        <is>
          <t>Source reference</t>
        </is>
      </c>
      <c r="G4" s="3" t="inlineStr">
        <is>
          <t>URL</t>
        </is>
      </c>
      <c r="H4" s="3" t="inlineStr">
        <is>
          <t>Buy now?</t>
        </is>
      </c>
      <c r="I4" s="3" t="inlineStr">
        <is>
          <t>Notes</t>
        </is>
      </c>
    </row>
    <row r="5">
      <c r="B5" s="6" t="inlineStr">
        <is>
          <t>AMD Ryzen 7 mini-PC / barebone</t>
        </is>
      </c>
      <c r="C5" s="6" t="inlineStr">
        <is>
          <t>Amazon.in / official store listings</t>
        </is>
      </c>
      <c r="D5" s="6" t="inlineStr">
        <is>
          <t>Minisforum UM773 Lite / similar Ryzen 7 mini-PC, 32GB-upgradeable, Linux-friendly</t>
        </is>
      </c>
      <c r="E5" s="14" t="n">
        <v>50000</v>
      </c>
      <c r="F5" s="6" t="inlineStr">
        <is>
          <t>Amazon.in preferred; compare Minisforum/Beelink/Geekom listings</t>
        </is>
      </c>
      <c r="G5" s="15" t="inlineStr">
        <is>
          <t>https://www.amazon.in/</t>
        </is>
      </c>
      <c r="H5" s="6" t="inlineStr">
        <is>
          <t>Compare 2-3 models</t>
        </is>
      </c>
      <c r="I5" s="6" t="inlineStr">
        <is>
          <t>Check RAM slots, SSD slots, Linux support, thermals</t>
        </is>
      </c>
    </row>
    <row r="6">
      <c r="B6" s="6" t="inlineStr">
        <is>
          <t>32 GB RAM kit</t>
        </is>
      </c>
      <c r="C6" s="6" t="inlineStr">
        <is>
          <t>Amazon.in</t>
        </is>
      </c>
      <c r="D6" s="6" t="inlineStr">
        <is>
          <t>Crucial / Kingston 2x16GB SODIMM kit matching DDR type of chosen PC</t>
        </is>
      </c>
      <c r="E6" s="14" t="n">
        <v>12000</v>
      </c>
      <c r="F6" s="6" t="inlineStr">
        <is>
          <t>Amazon.in memory listings</t>
        </is>
      </c>
      <c r="G6" s="15" t="inlineStr">
        <is>
          <t>https://www.amazon.in/</t>
        </is>
      </c>
      <c r="H6" s="6" t="inlineStr">
        <is>
          <t>Yes</t>
        </is>
      </c>
      <c r="I6" s="6" t="inlineStr">
        <is>
          <t>Match DDR4 vs DDR5 carefully before ordering</t>
        </is>
      </c>
    </row>
    <row r="7">
      <c r="B7" s="6" t="inlineStr">
        <is>
          <t>1 TB NVMe SSD</t>
        </is>
      </c>
      <c r="C7" s="6" t="inlineStr">
        <is>
          <t>Amazon.in</t>
        </is>
      </c>
      <c r="D7" s="6" t="inlineStr">
        <is>
          <t>Crucial P3 Plus 1TB / WD Blue SN580 1TB / similar</t>
        </is>
      </c>
      <c r="E7" s="14" t="n">
        <v>6000</v>
      </c>
      <c r="F7" s="6" t="inlineStr">
        <is>
          <t>Amazon.in SSD listings</t>
        </is>
      </c>
      <c r="G7" s="15" t="inlineStr">
        <is>
          <t>https://www.amazon.in/</t>
        </is>
      </c>
      <c r="H7" s="6" t="inlineStr">
        <is>
          <t>Yes</t>
        </is>
      </c>
      <c r="I7" s="6" t="inlineStr">
        <is>
          <t>Good balance of price and performance</t>
        </is>
      </c>
    </row>
    <row r="8">
      <c r="B8" s="6" t="inlineStr">
        <is>
          <t>8 TB HDD</t>
        </is>
      </c>
      <c r="C8" s="6" t="inlineStr">
        <is>
          <t>Amazon.in</t>
        </is>
      </c>
      <c r="D8" s="6" t="inlineStr">
        <is>
          <t>Seagate BarraCuda 8TB / WD Blue 8TB / similar internal drive</t>
        </is>
      </c>
      <c r="E8" s="14" t="n">
        <v>14000</v>
      </c>
      <c r="F8" s="6" t="inlineStr">
        <is>
          <t>Amazon.in storage listings</t>
        </is>
      </c>
      <c r="G8" s="15" t="inlineStr">
        <is>
          <t>https://www.amazon.in/</t>
        </is>
      </c>
      <c r="H8" s="6" t="inlineStr">
        <is>
          <t>Yes</t>
        </is>
      </c>
      <c r="I8" s="6" t="inlineStr">
        <is>
          <t>Verify warranty and internal vs external form factor</t>
        </is>
      </c>
    </row>
    <row r="9">
      <c r="B9" s="6" t="inlineStr">
        <is>
          <t>USB DAC / audio interface</t>
        </is>
      </c>
      <c r="C9" s="6" t="inlineStr">
        <is>
          <t>Amazon.in / pro audio sellers</t>
        </is>
      </c>
      <c r="D9" s="6" t="inlineStr">
        <is>
          <t>Behringer UMC202HD / similar 2-in 2-out USB interface</t>
        </is>
      </c>
      <c r="E9" s="14" t="n">
        <v>9000</v>
      </c>
      <c r="F9" s="6" t="inlineStr">
        <is>
          <t>Amazon.in audio interface listings</t>
        </is>
      </c>
      <c r="G9" s="15" t="inlineStr">
        <is>
          <t>https://www.amazon.in/</t>
        </is>
      </c>
      <c r="H9" s="6" t="inlineStr">
        <is>
          <t>Yes</t>
        </is>
      </c>
      <c r="I9" s="6" t="inlineStr">
        <is>
          <t>Better than motherboard analog for studio work</t>
        </is>
      </c>
    </row>
    <row r="10">
      <c r="B10" s="6" t="inlineStr">
        <is>
          <t>Studio monitor headphone</t>
        </is>
      </c>
      <c r="C10" s="6" t="inlineStr">
        <is>
          <t>Amazon.in</t>
        </is>
      </c>
      <c r="D10" s="6" t="inlineStr">
        <is>
          <t>Audio-Technica ATH-M50x exact model</t>
        </is>
      </c>
      <c r="E10" s="14" t="n">
        <v>12000</v>
      </c>
      <c r="F10" s="6" t="inlineStr">
        <is>
          <t>Amazon.in ATH-M50x listings</t>
        </is>
      </c>
      <c r="G10" s="15" t="inlineStr">
        <is>
          <t>https://www.amazon.in/</t>
        </is>
      </c>
      <c r="H10" s="6" t="inlineStr">
        <is>
          <t>Yes</t>
        </is>
      </c>
      <c r="I10" s="6" t="inlineStr">
        <is>
          <t>Exact mid-range headphone recommendation</t>
        </is>
      </c>
    </row>
    <row r="11">
      <c r="B11" s="6" t="inlineStr">
        <is>
          <t>Primary ultrawide monitor (~40 inch)</t>
        </is>
      </c>
      <c r="C11" s="6" t="inlineStr">
        <is>
          <t>Amazon.in preferred / business monitor sellers</t>
        </is>
      </c>
      <c r="D11" s="6" t="inlineStr">
        <is>
          <t>Dell U4025QW / Lenovo ThinkVision P40w-20 class; choose conservative budget around ₹80,000 if deal appears</t>
        </is>
      </c>
      <c r="E11" s="14" t="n">
        <v>80000</v>
      </c>
      <c r="F11" s="6" t="inlineStr">
        <is>
          <t>Amazon.in preferred with productivity-monitor class shortlist</t>
        </is>
      </c>
      <c r="G11" s="15" t="inlineStr">
        <is>
          <t>https://www.amazon.in/</t>
        </is>
      </c>
      <c r="H11" s="6" t="inlineStr">
        <is>
          <t>Compare 2-3 models</t>
        </is>
      </c>
      <c r="I11" s="6" t="inlineStr">
        <is>
          <t>Existing 24-inch monitor can continue as side display</t>
        </is>
      </c>
    </row>
    <row r="12">
      <c r="B12" s="6" t="inlineStr">
        <is>
          <t>Keyboard and mouse combo</t>
        </is>
      </c>
      <c r="C12" s="6" t="inlineStr">
        <is>
          <t>Amazon.in</t>
        </is>
      </c>
      <c r="D12" s="6" t="inlineStr">
        <is>
          <t>Logitech MK275 / MK345 or similar</t>
        </is>
      </c>
      <c r="E12" s="14" t="n">
        <v>3000</v>
      </c>
      <c r="F12" s="6" t="inlineStr">
        <is>
          <t>Amazon.in keyboard and mouse combo listings</t>
        </is>
      </c>
      <c r="G12" s="15" t="inlineStr">
        <is>
          <t>https://www.amazon.in/</t>
        </is>
      </c>
      <c r="H12" s="6" t="inlineStr">
        <is>
          <t>Yes</t>
        </is>
      </c>
      <c r="I12" s="6" t="inlineStr">
        <is>
          <t>Simple reliable combo preferred</t>
        </is>
      </c>
    </row>
  </sheetData>
  <mergeCells count="1">
    <mergeCell ref="B2:I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2">
      <c r="B2" s="16" t="inlineStr">
        <is>
          <t>Build notes and buying logic</t>
        </is>
      </c>
    </row>
    <row r="4" ht="36" customHeight="1">
      <c r="B4" s="17" t="inlineStr">
        <is>
          <t>1. Keep Ubuntu Linux and all active development workloads on the NVMe SSD for responsiveness.</t>
        </is>
      </c>
    </row>
    <row r="6" ht="36" customHeight="1">
      <c r="B6" s="17" t="inlineStr">
        <is>
          <t>2. Reserve the 8 TB HDD for backups, cold archives, datasets, rendered exports, and media storage.</t>
        </is>
      </c>
    </row>
    <row r="8" ht="36" customHeight="1">
      <c r="B8" s="17" t="inlineStr">
        <is>
          <t>3. For music work, a USB DAC or audio interface is preferable to onboard analog audio for cleaner line-out to the amplifier.</t>
        </is>
      </c>
    </row>
    <row r="10" ht="36" customHeight="1">
      <c r="B10" s="17" t="inlineStr">
        <is>
          <t>4. For ROS 2 and container-heavy work, choose a mini-PC with upgradeable RAM and at least one additional storage path if possible.</t>
        </is>
      </c>
    </row>
    <row r="12" ht="36" customHeight="1">
      <c r="B12" s="17" t="inlineStr">
        <is>
          <t>5. If the chosen mini-PC does not support an internal 3.5 inch HDD, use the 8 TB drive in an external USB enclosure or NAS-style dock.</t>
        </is>
      </c>
    </row>
    <row r="14" ht="36" customHeight="1">
      <c r="B14" s="17" t="inlineStr">
        <is>
          <t>6. Remaining budget can be kept as reserve for UPS, better cooling, Ethernet switch, or a second SSD later.</t>
        </is>
      </c>
    </row>
    <row r="17">
      <c r="B17" s="9" t="inlineStr">
        <is>
          <t>Generated</t>
        </is>
      </c>
      <c r="C17" s="18" t="inlineStr">
        <is>
          <t>2026-03-27 02:37</t>
        </is>
      </c>
    </row>
    <row r="18">
      <c r="B18" s="9" t="inlineStr">
        <is>
          <t>Target budget</t>
        </is>
      </c>
      <c r="C18" s="19">
        <f>100000</f>
        <v/>
      </c>
    </row>
    <row r="19">
      <c r="B19" s="9" t="inlineStr">
        <is>
          <t>Workbook total from Detailed Budget</t>
        </is>
      </c>
      <c r="C19" s="19">
        <f>'Detailed Budget'!G13</f>
        <v/>
      </c>
    </row>
    <row r="21" ht="36" customHeight="1">
      <c r="B21" s="9" t="inlineStr">
        <is>
          <t>Headphone note</t>
        </is>
      </c>
      <c r="C21" s="20" t="inlineStr">
        <is>
          <t>Selected exact model: Audio-Technica ATH-M50x at an indicative budget of ₹12,000 for studio monitoring, tracking, and editing.</t>
        </is>
      </c>
    </row>
    <row r="23" ht="42" customHeight="1">
      <c r="B23" s="9" t="inlineStr">
        <is>
          <t>Touchscreen monitor note</t>
        </is>
      </c>
      <c r="C23" s="20" t="inlineStr">
        <is>
          <t>A mid-range touchscreen monitor is useful if the system will double as a control surface style interface for music, dashboards, or kiosk-like studio workflows.</t>
        </is>
      </c>
    </row>
    <row r="24" ht="32" customHeight="1">
      <c r="B24" s="9" t="inlineStr">
        <is>
          <t>Keyboard/mouse note</t>
        </is>
      </c>
      <c r="C24" s="20" t="inlineStr">
        <is>
          <t>Added a basic keyboard and mouse combo budget for daily coding, navigation, and general workstation use.</t>
        </is>
      </c>
    </row>
    <row r="26" ht="36" customHeight="1">
      <c r="B26" s="9" t="inlineStr">
        <is>
          <t>Amazon sourcing preference</t>
        </is>
      </c>
      <c r="C26" s="20" t="inlineStr">
        <is>
          <t>Workbook updated with exact-model style recommendations and Amazon.in as the preferred sourcing channel for practical procurement.</t>
        </is>
      </c>
    </row>
  </sheetData>
  <mergeCells count="7">
    <mergeCell ref="B8:H8"/>
    <mergeCell ref="B14:H14"/>
    <mergeCell ref="B4:H4"/>
    <mergeCell ref="B12:H12"/>
    <mergeCell ref="B6:H6"/>
    <mergeCell ref="B2:H2"/>
    <mergeCell ref="B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30" customWidth="1" min="4" max="4"/>
    <col width="12" customWidth="1" min="5" max="5"/>
    <col width="12" customWidth="1" min="6" max="6"/>
    <col width="18" customWidth="1" min="7" max="7"/>
    <col width="34" customWidth="1" min="8" max="8"/>
  </cols>
  <sheetData>
    <row r="2">
      <c r="B2" s="1" t="inlineStr">
        <is>
          <t>Software stack for mini data center, development, ROS 2, and studio use</t>
        </is>
      </c>
    </row>
    <row r="3">
      <c r="B3" s="2" t="inlineStr">
        <is>
          <t>Open-source-first software planning sheet aligned to the workstation and self-hosted use case</t>
        </is>
      </c>
    </row>
    <row r="5">
      <c r="B5" s="3" t="inlineStr">
        <is>
          <t>Category</t>
        </is>
      </c>
      <c r="C5" s="3" t="inlineStr">
        <is>
          <t>Software</t>
        </is>
      </c>
      <c r="D5" s="3" t="inlineStr">
        <is>
          <t>Purpose</t>
        </is>
      </c>
      <c r="E5" s="3" t="inlineStr">
        <is>
          <t>Priority</t>
        </is>
      </c>
      <c r="F5" s="3" t="inlineStr">
        <is>
          <t>Open source</t>
        </is>
      </c>
      <c r="G5" s="3" t="inlineStr">
        <is>
          <t>Install on base system?</t>
        </is>
      </c>
      <c r="H5" s="3" t="inlineStr">
        <is>
          <t>Notes</t>
        </is>
      </c>
    </row>
    <row r="6">
      <c r="B6" s="6" t="inlineStr">
        <is>
          <t>Operating System</t>
        </is>
      </c>
      <c r="C6" s="6" t="inlineStr">
        <is>
          <t>Ubuntu 24.04 LTS</t>
        </is>
      </c>
      <c r="D6" s="6" t="inlineStr">
        <is>
          <t>Main Linux desktop and server base</t>
        </is>
      </c>
      <c r="E6" s="6" t="inlineStr">
        <is>
          <t>Must-have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Strong package support and good hardware compatibility</t>
        </is>
      </c>
    </row>
    <row r="7">
      <c r="B7" s="6" t="inlineStr">
        <is>
          <t>Development</t>
        </is>
      </c>
      <c r="C7" s="6" t="inlineStr">
        <is>
          <t>Git</t>
        </is>
      </c>
      <c r="D7" s="6" t="inlineStr">
        <is>
          <t>Version control</t>
        </is>
      </c>
      <c r="E7" s="6" t="inlineStr">
        <is>
          <t>Must-have</t>
        </is>
      </c>
      <c r="F7" s="6" t="inlineStr">
        <is>
          <t>Yes</t>
        </is>
      </c>
      <c r="G7" s="6" t="inlineStr">
        <is>
          <t>Yes</t>
        </is>
      </c>
      <c r="H7" s="6" t="inlineStr">
        <is>
          <t>Core for all development workflows</t>
        </is>
      </c>
    </row>
    <row r="8">
      <c r="B8" s="6" t="inlineStr">
        <is>
          <t>Development</t>
        </is>
      </c>
      <c r="C8" s="6" t="inlineStr">
        <is>
          <t>VS Code / VSCodium</t>
        </is>
      </c>
      <c r="D8" s="6" t="inlineStr">
        <is>
          <t>Code editing and project management</t>
        </is>
      </c>
      <c r="E8" s="6" t="inlineStr">
        <is>
          <t>Must-have</t>
        </is>
      </c>
      <c r="F8" s="6" t="inlineStr">
        <is>
          <t>Mostly</t>
        </is>
      </c>
      <c r="G8" s="6" t="inlineStr">
        <is>
          <t>Yes</t>
        </is>
      </c>
      <c r="H8" s="6" t="inlineStr">
        <is>
          <t>VSCodium if pure OSS preference is strict</t>
        </is>
      </c>
    </row>
    <row r="9">
      <c r="B9" s="6" t="inlineStr">
        <is>
          <t>Development</t>
        </is>
      </c>
      <c r="C9" s="6" t="inlineStr">
        <is>
          <t>Python 3 + pip + venv</t>
        </is>
      </c>
      <c r="D9" s="6" t="inlineStr">
        <is>
          <t>Backend, scripts, automation, ML utilities</t>
        </is>
      </c>
      <c r="E9" s="6" t="inlineStr">
        <is>
          <t>Must-have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Needed for ROS, tooling and automation</t>
        </is>
      </c>
    </row>
    <row r="10">
      <c r="B10" s="6" t="inlineStr">
        <is>
          <t>Containers</t>
        </is>
      </c>
      <c r="C10" s="6" t="inlineStr">
        <is>
          <t>Docker Engine</t>
        </is>
      </c>
      <c r="D10" s="6" t="inlineStr">
        <is>
          <t>Container runtime</t>
        </is>
      </c>
      <c r="E10" s="6" t="inlineStr">
        <is>
          <t>Must-have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Base container layer</t>
        </is>
      </c>
    </row>
    <row r="11">
      <c r="B11" s="6" t="inlineStr">
        <is>
          <t>Containers</t>
        </is>
      </c>
      <c r="C11" s="6" t="inlineStr">
        <is>
          <t>Docker Compose</t>
        </is>
      </c>
      <c r="D11" s="6" t="inlineStr">
        <is>
          <t>Multi-container local stacks</t>
        </is>
      </c>
      <c r="E11" s="6" t="inlineStr">
        <is>
          <t>Must-have</t>
        </is>
      </c>
      <c r="F11" s="6" t="inlineStr">
        <is>
          <t>Yes</t>
        </is>
      </c>
      <c r="G11" s="6" t="inlineStr">
        <is>
          <t>Yes</t>
        </is>
      </c>
      <c r="H11" s="6" t="inlineStr">
        <is>
          <t>Useful for self-hosted services</t>
        </is>
      </c>
    </row>
    <row r="12">
      <c r="B12" s="6" t="inlineStr">
        <is>
          <t>Containers</t>
        </is>
      </c>
      <c r="C12" s="6" t="inlineStr">
        <is>
          <t>K3s</t>
        </is>
      </c>
      <c r="D12" s="6" t="inlineStr">
        <is>
          <t>Lightweight Kubernetes</t>
        </is>
      </c>
      <c r="E12" s="6" t="inlineStr">
        <is>
          <t>Recommended</t>
        </is>
      </c>
      <c r="F12" s="6" t="inlineStr">
        <is>
          <t>Yes</t>
        </is>
      </c>
      <c r="G12" s="6" t="inlineStr">
        <is>
          <t>Yes</t>
        </is>
      </c>
      <c r="H12" s="6" t="inlineStr">
        <is>
          <t>Good local cluster for mini data center</t>
        </is>
      </c>
    </row>
    <row r="13">
      <c r="B13" s="6" t="inlineStr">
        <is>
          <t>CI/CD</t>
        </is>
      </c>
      <c r="C13" s="6" t="inlineStr">
        <is>
          <t>Jenkins</t>
        </is>
      </c>
      <c r="D13" s="6" t="inlineStr">
        <is>
          <t>Local CI automation</t>
        </is>
      </c>
      <c r="E13" s="6" t="inlineStr">
        <is>
          <t>Recommended</t>
        </is>
      </c>
      <c r="F13" s="6" t="inlineStr">
        <is>
          <t>Yes</t>
        </is>
      </c>
      <c r="G13" s="6" t="inlineStr">
        <is>
          <t>Container</t>
        </is>
      </c>
      <c r="H13" s="6" t="inlineStr">
        <is>
          <t>Can run in Docker</t>
        </is>
      </c>
    </row>
    <row r="14">
      <c r="B14" s="6" t="inlineStr">
        <is>
          <t>Self-hosting</t>
        </is>
      </c>
      <c r="C14" s="6" t="inlineStr">
        <is>
          <t>Gitea or Forgejo</t>
        </is>
      </c>
      <c r="D14" s="6" t="inlineStr">
        <is>
          <t>Local Git service</t>
        </is>
      </c>
      <c r="E14" s="6" t="inlineStr">
        <is>
          <t>Recommended</t>
        </is>
      </c>
      <c r="F14" s="6" t="inlineStr">
        <is>
          <t>Yes</t>
        </is>
      </c>
      <c r="G14" s="6" t="inlineStr">
        <is>
          <t>Container</t>
        </is>
      </c>
      <c r="H14" s="6" t="inlineStr">
        <is>
          <t>Lightweight self-hosted Git platform</t>
        </is>
      </c>
    </row>
    <row r="15">
      <c r="B15" s="6" t="inlineStr">
        <is>
          <t>Self-hosting</t>
        </is>
      </c>
      <c r="C15" s="6" t="inlineStr">
        <is>
          <t>MinIO</t>
        </is>
      </c>
      <c r="D15" s="6" t="inlineStr">
        <is>
          <t>S3-style local object storage</t>
        </is>
      </c>
      <c r="E15" s="6" t="inlineStr">
        <is>
          <t>Recommended</t>
        </is>
      </c>
      <c r="F15" s="6" t="inlineStr">
        <is>
          <t>Yes</t>
        </is>
      </c>
      <c r="G15" s="6" t="inlineStr">
        <is>
          <t>Container</t>
        </is>
      </c>
      <c r="H15" s="6" t="inlineStr">
        <is>
          <t>Useful for artifacts and backups</t>
        </is>
      </c>
    </row>
    <row r="16">
      <c r="B16" s="6" t="inlineStr">
        <is>
          <t>Monitoring</t>
        </is>
      </c>
      <c r="C16" s="6" t="inlineStr">
        <is>
          <t>Grafana</t>
        </is>
      </c>
      <c r="D16" s="6" t="inlineStr">
        <is>
          <t>Dashboards and observability</t>
        </is>
      </c>
      <c r="E16" s="6" t="inlineStr">
        <is>
          <t>Recommended</t>
        </is>
      </c>
      <c r="F16" s="6" t="inlineStr">
        <is>
          <t>Yes</t>
        </is>
      </c>
      <c r="G16" s="6" t="inlineStr">
        <is>
          <t>Container</t>
        </is>
      </c>
      <c r="H16" s="6" t="inlineStr">
        <is>
          <t>Best paired with Prometheus</t>
        </is>
      </c>
    </row>
    <row r="17">
      <c r="B17" s="6" t="inlineStr">
        <is>
          <t>Monitoring</t>
        </is>
      </c>
      <c r="C17" s="6" t="inlineStr">
        <is>
          <t>Prometheus</t>
        </is>
      </c>
      <c r="D17" s="6" t="inlineStr">
        <is>
          <t>Metrics collection</t>
        </is>
      </c>
      <c r="E17" s="6" t="inlineStr">
        <is>
          <t>Recommended</t>
        </is>
      </c>
      <c r="F17" s="6" t="inlineStr">
        <is>
          <t>Yes</t>
        </is>
      </c>
      <c r="G17" s="6" t="inlineStr">
        <is>
          <t>Container</t>
        </is>
      </c>
      <c r="H17" s="6" t="inlineStr">
        <is>
          <t>Collects infra metrics</t>
        </is>
      </c>
    </row>
    <row r="18">
      <c r="B18" s="6" t="inlineStr">
        <is>
          <t>Monitoring</t>
        </is>
      </c>
      <c r="C18" s="6" t="inlineStr">
        <is>
          <t>Loki</t>
        </is>
      </c>
      <c r="D18" s="6" t="inlineStr">
        <is>
          <t>Log aggregation</t>
        </is>
      </c>
      <c r="E18" s="6" t="inlineStr">
        <is>
          <t>Optional</t>
        </is>
      </c>
      <c r="F18" s="6" t="inlineStr">
        <is>
          <t>Yes</t>
        </is>
      </c>
      <c r="G18" s="6" t="inlineStr">
        <is>
          <t>Container</t>
        </is>
      </c>
      <c r="H18" s="6" t="inlineStr">
        <is>
          <t>Useful for logs from services</t>
        </is>
      </c>
    </row>
    <row r="19">
      <c r="B19" s="6" t="inlineStr">
        <is>
          <t>Networking</t>
        </is>
      </c>
      <c r="C19" s="6" t="inlineStr">
        <is>
          <t>Tailscale</t>
        </is>
      </c>
      <c r="D19" s="6" t="inlineStr">
        <is>
          <t>Secure remote access</t>
        </is>
      </c>
      <c r="E19" s="6" t="inlineStr">
        <is>
          <t>Recommended</t>
        </is>
      </c>
      <c r="F19" s="6" t="inlineStr">
        <is>
          <t>No</t>
        </is>
      </c>
      <c r="G19" s="6" t="inlineStr">
        <is>
          <t>Yes</t>
        </is>
      </c>
      <c r="H19" s="6" t="inlineStr">
        <is>
          <t>Very practical for remote access</t>
        </is>
      </c>
    </row>
    <row r="20">
      <c r="B20" s="6" t="inlineStr">
        <is>
          <t>Robotics</t>
        </is>
      </c>
      <c r="C20" s="6" t="inlineStr">
        <is>
          <t>ROS 2 Humble / Jazzy</t>
        </is>
      </c>
      <c r="D20" s="6" t="inlineStr">
        <is>
          <t>Robotics middleware and development stack</t>
        </is>
      </c>
      <c r="E20" s="6" t="inlineStr">
        <is>
          <t>Must-have</t>
        </is>
      </c>
      <c r="F20" s="6" t="inlineStr">
        <is>
          <t>Yes</t>
        </is>
      </c>
      <c r="G20" s="6" t="inlineStr">
        <is>
          <t>Yes</t>
        </is>
      </c>
      <c r="H20" s="6" t="inlineStr">
        <is>
          <t>Pick distro based on Ubuntu version</t>
        </is>
      </c>
    </row>
    <row r="21">
      <c r="B21" s="6" t="inlineStr">
        <is>
          <t>Robotics</t>
        </is>
      </c>
      <c r="C21" s="6" t="inlineStr">
        <is>
          <t>Gazebo</t>
        </is>
      </c>
      <c r="D21" s="6" t="inlineStr">
        <is>
          <t>Robot simulation</t>
        </is>
      </c>
      <c r="E21" s="6" t="inlineStr">
        <is>
          <t>Recommended</t>
        </is>
      </c>
      <c r="F21" s="6" t="inlineStr">
        <is>
          <t>Yes</t>
        </is>
      </c>
      <c r="G21" s="6" t="inlineStr">
        <is>
          <t>Yes</t>
        </is>
      </c>
      <c r="H21" s="6" t="inlineStr">
        <is>
          <t>Useful if running simulation workloads</t>
        </is>
      </c>
    </row>
    <row r="22">
      <c r="B22" s="6" t="inlineStr">
        <is>
          <t>Audio</t>
        </is>
      </c>
      <c r="C22" s="6" t="inlineStr">
        <is>
          <t>PipeWire + JACK support</t>
        </is>
      </c>
      <c r="D22" s="6" t="inlineStr">
        <is>
          <t>Low-latency audio plumbing</t>
        </is>
      </c>
      <c r="E22" s="6" t="inlineStr">
        <is>
          <t>Must-have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Important for Linux audio workflow</t>
        </is>
      </c>
    </row>
    <row r="23">
      <c r="B23" s="6" t="inlineStr">
        <is>
          <t>Audio</t>
        </is>
      </c>
      <c r="C23" s="6" t="inlineStr">
        <is>
          <t>Ardour</t>
        </is>
      </c>
      <c r="D23" s="6" t="inlineStr">
        <is>
          <t>DAW for recording and mixing</t>
        </is>
      </c>
      <c r="E23" s="6" t="inlineStr">
        <is>
          <t>Recommended</t>
        </is>
      </c>
      <c r="F23" s="6" t="inlineStr">
        <is>
          <t>Yes</t>
        </is>
      </c>
      <c r="G23" s="6" t="inlineStr">
        <is>
          <t>Yes</t>
        </is>
      </c>
      <c r="H23" s="6" t="inlineStr">
        <is>
          <t>Strong open-source DAW option</t>
        </is>
      </c>
    </row>
    <row r="24">
      <c r="B24" s="6" t="inlineStr">
        <is>
          <t>Audio</t>
        </is>
      </c>
      <c r="C24" s="6" t="inlineStr">
        <is>
          <t>Audacity</t>
        </is>
      </c>
      <c r="D24" s="6" t="inlineStr">
        <is>
          <t>Quick waveform edits and cleanup</t>
        </is>
      </c>
      <c r="E24" s="6" t="inlineStr">
        <is>
          <t>Recommended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Handy utility editor</t>
        </is>
      </c>
    </row>
    <row r="25">
      <c r="B25" s="6" t="inlineStr">
        <is>
          <t>Design</t>
        </is>
      </c>
      <c r="C25" s="6" t="inlineStr">
        <is>
          <t>Krita</t>
        </is>
      </c>
      <c r="D25" s="6" t="inlineStr">
        <is>
          <t>Digital art and paint workflow</t>
        </is>
      </c>
      <c r="E25" s="6" t="inlineStr">
        <is>
          <t>Optional</t>
        </is>
      </c>
      <c r="F25" s="6" t="inlineStr">
        <is>
          <t>Yes</t>
        </is>
      </c>
      <c r="G25" s="6" t="inlineStr">
        <is>
          <t>Yes</t>
        </is>
      </c>
      <c r="H25" s="6" t="inlineStr">
        <is>
          <t>Great open-source visual tool</t>
        </is>
      </c>
    </row>
    <row r="26">
      <c r="B26" s="6" t="inlineStr">
        <is>
          <t>Design</t>
        </is>
      </c>
      <c r="C26" s="6" t="inlineStr">
        <is>
          <t>Inkscape</t>
        </is>
      </c>
      <c r="D26" s="6" t="inlineStr">
        <is>
          <t>Vector graphics</t>
        </is>
      </c>
      <c r="E26" s="6" t="inlineStr">
        <is>
          <t>Optional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Useful for logos and diagrams</t>
        </is>
      </c>
    </row>
    <row r="27">
      <c r="B27" s="6" t="inlineStr">
        <is>
          <t>Design</t>
        </is>
      </c>
      <c r="C27" s="6" t="inlineStr">
        <is>
          <t>Blender</t>
        </is>
      </c>
      <c r="D27" s="6" t="inlineStr">
        <is>
          <t>3D and rendering</t>
        </is>
      </c>
      <c r="E27" s="6" t="inlineStr">
        <is>
          <t>Optional</t>
        </is>
      </c>
      <c r="F27" s="6" t="inlineStr">
        <is>
          <t>Yes</t>
        </is>
      </c>
      <c r="G27" s="6" t="inlineStr">
        <is>
          <t>Yes</t>
        </is>
      </c>
      <c r="H27" s="6" t="inlineStr">
        <is>
          <t>Heavy but useful if needed</t>
        </is>
      </c>
    </row>
    <row r="28">
      <c r="B28" s="6" t="inlineStr">
        <is>
          <t>Files</t>
        </is>
      </c>
      <c r="C28" s="6" t="inlineStr">
        <is>
          <t>Nextcloud</t>
        </is>
      </c>
      <c r="D28" s="6" t="inlineStr">
        <is>
          <t>Personal cloud and sync</t>
        </is>
      </c>
      <c r="E28" s="6" t="inlineStr">
        <is>
          <t>Optional</t>
        </is>
      </c>
      <c r="F28" s="6" t="inlineStr">
        <is>
          <t>Yes</t>
        </is>
      </c>
      <c r="G28" s="6" t="inlineStr">
        <is>
          <t>Container</t>
        </is>
      </c>
      <c r="H28" s="6" t="inlineStr">
        <is>
          <t>Useful for private file hub</t>
        </is>
      </c>
    </row>
    <row r="29">
      <c r="B29" s="6" t="inlineStr">
        <is>
          <t>Utilities</t>
        </is>
      </c>
      <c r="C29" s="6" t="inlineStr">
        <is>
          <t>Syncthing</t>
        </is>
      </c>
      <c r="D29" s="6" t="inlineStr">
        <is>
          <t>Peer-to-peer file sync</t>
        </is>
      </c>
      <c r="E29" s="6" t="inlineStr">
        <is>
          <t>Recommended</t>
        </is>
      </c>
      <c r="F29" s="6" t="inlineStr">
        <is>
          <t>Yes</t>
        </is>
      </c>
      <c r="G29" s="6" t="inlineStr">
        <is>
          <t>Yes</t>
        </is>
      </c>
      <c r="H29" s="6" t="inlineStr">
        <is>
          <t>Simple local sync across devices</t>
        </is>
      </c>
    </row>
    <row r="30">
      <c r="B30" s="6" t="inlineStr">
        <is>
          <t>Backup</t>
        </is>
      </c>
      <c r="C30" s="6" t="inlineStr">
        <is>
          <t>Restic or BorgBackup</t>
        </is>
      </c>
      <c r="D30" s="6" t="inlineStr">
        <is>
          <t>Encrypted backups</t>
        </is>
      </c>
      <c r="E30" s="6" t="inlineStr">
        <is>
          <t>Recommended</t>
        </is>
      </c>
      <c r="F30" s="6" t="inlineStr">
        <is>
          <t>Yes</t>
        </is>
      </c>
      <c r="G30" s="6" t="inlineStr">
        <is>
          <t>Yes</t>
        </is>
      </c>
      <c r="H30" s="6" t="inlineStr">
        <is>
          <t>Good for HDD backup strategy</t>
        </is>
      </c>
    </row>
  </sheetData>
  <mergeCells count="2">
    <mergeCell ref="B3:H3"/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2026-03-27T02:37:47Z</dcterms:created>
  <dcterms:modified xmlns:dcterms="http://purl.org/dc/terms/" xmlns:xsi="http://www.w3.org/2001/XMLSchema-instance" xsi:type="dcterms:W3CDTF">2026-03-27T03:04:22Z</dcterms:modified>
</cp:coreProperties>
</file>